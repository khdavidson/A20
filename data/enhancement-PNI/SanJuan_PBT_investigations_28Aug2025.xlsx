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SONKA\Documents\ANALYSIS\Area20\A20\data\enhancement-PNI\"/>
    </mc:Choice>
  </mc:AlternateContent>
  <xr:revisionPtr revIDLastSave="0" documentId="13_ncr:1_{2F14DC91-4F47-4519-AF79-0D58495D7E43}" xr6:coauthVersionLast="47" xr6:coauthVersionMax="47" xr10:uidLastSave="{00000000-0000-0000-0000-000000000000}"/>
  <bookViews>
    <workbookView xWindow="-120" yWindow="-120" windowWidth="29040" windowHeight="15720" xr2:uid="{9F92B344-132D-4192-AFC3-8E123DDF2AB8}"/>
  </bookViews>
  <sheets>
    <sheet name="Sheet1" sheetId="1" r:id="rId1"/>
  </sheets>
  <definedNames>
    <definedName name="_xlnm._FilterDatabase" localSheetId="0" hidden="1">Sheet1!$A$1:$K$22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1" i="1"/>
  <c r="K22" i="1"/>
  <c r="K2" i="1"/>
  <c r="J3" i="1"/>
  <c r="J4" i="1"/>
  <c r="J5" i="1"/>
  <c r="J6" i="1"/>
  <c r="J8" i="1"/>
  <c r="J9" i="1"/>
  <c r="J11" i="1"/>
  <c r="J12" i="1"/>
  <c r="J14" i="1"/>
  <c r="J15" i="1"/>
  <c r="J17" i="1"/>
  <c r="J18" i="1"/>
  <c r="J2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K20" i="1" s="1"/>
  <c r="I21" i="1"/>
  <c r="J21" i="1" s="1"/>
  <c r="I22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Katie Davidson</author>
  </authors>
  <commentList>
    <comment ref="F1" authorId="0" shapeId="0" xr:uid="{A8C15BA9-F394-4C34-BA6C-4FB9E32CDB77}">
      <text>
        <r>
          <rPr>
            <b/>
            <sz val="9"/>
            <color indexed="81"/>
            <rFont val="Tahoma"/>
            <family val="2"/>
          </rPr>
          <t>Katie Davidson:</t>
        </r>
        <r>
          <rPr>
            <sz val="9"/>
            <color indexed="81"/>
            <rFont val="Tahoma"/>
            <family val="2"/>
          </rPr>
          <t xml:space="preserve">
this column represents a count of the number of DNA samples collected, regardless of whether it was a mort/cull, broodstock, etc.</t>
        </r>
      </text>
    </comment>
    <comment ref="G1" authorId="0" shapeId="0" xr:uid="{B24A877F-C05E-410E-BA93-72859B6A87BB}">
      <text>
        <r>
          <rPr>
            <b/>
            <sz val="9"/>
            <color indexed="81"/>
            <rFont val="Tahoma"/>
            <family val="2"/>
          </rPr>
          <t>Katie Davidson:</t>
        </r>
        <r>
          <rPr>
            <sz val="9"/>
            <color indexed="81"/>
            <rFont val="Tahoma"/>
            <family val="2"/>
          </rPr>
          <t xml:space="preserve">
this column represents cases where a fish was spawned and (maybe) sampled for other traits (e.g., length, otoliths), but a DNA sample was missed</t>
        </r>
      </text>
    </comment>
    <comment ref="H1" authorId="0" shapeId="0" xr:uid="{3420300A-CD98-49B9-9932-E8FD1D06BAA9}">
      <text>
        <r>
          <rPr>
            <b/>
            <sz val="9"/>
            <color indexed="81"/>
            <rFont val="Tahoma"/>
            <family val="2"/>
          </rPr>
          <t>Katie Davidson:</t>
        </r>
        <r>
          <rPr>
            <sz val="9"/>
            <color indexed="81"/>
            <rFont val="Tahoma"/>
            <family val="2"/>
          </rPr>
          <t xml:space="preserve">
this column represents fish that were </t>
        </r>
        <r>
          <rPr>
            <u/>
            <sz val="9"/>
            <color indexed="81"/>
            <rFont val="Tahoma"/>
            <family val="2"/>
          </rPr>
          <t>known morts/discards</t>
        </r>
        <r>
          <rPr>
            <sz val="9"/>
            <color indexed="81"/>
            <rFont val="Tahoma"/>
            <family val="2"/>
          </rPr>
          <t xml:space="preserve"> (i.e., did not contribute to the next generation) but that were still sampled for DNA anyway. 
These fish should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be in the PBT baseline. </t>
        </r>
      </text>
    </comment>
    <comment ref="F6" authorId="0" shapeId="0" xr:uid="{3DE8BCB3-DF9E-4C32-9368-A85BC178C7BF}">
      <text>
        <r>
          <rPr>
            <b/>
            <sz val="9"/>
            <color indexed="81"/>
            <rFont val="Tahoma"/>
            <family val="2"/>
          </rPr>
          <t>Katie Davidson:</t>
        </r>
        <r>
          <rPr>
            <sz val="9"/>
            <color indexed="81"/>
            <rFont val="Tahoma"/>
            <family val="2"/>
          </rPr>
          <t xml:space="preserve">
one of these was a "jill"</t>
        </r>
      </text>
    </comment>
    <comment ref="F7" authorId="0" shapeId="0" xr:uid="{F03C0CDB-E85C-449B-AE72-E4AD67ED5E52}">
      <text>
        <r>
          <rPr>
            <b/>
            <sz val="9"/>
            <color indexed="81"/>
            <rFont val="Tahoma"/>
            <family val="2"/>
          </rPr>
          <t>Katie Davidson:</t>
        </r>
        <r>
          <rPr>
            <sz val="9"/>
            <color indexed="81"/>
            <rFont val="Tahoma"/>
            <family val="2"/>
          </rPr>
          <t xml:space="preserve">
visual jack, not confirmed with scale age at this point</t>
        </r>
      </text>
    </comment>
    <comment ref="D8" authorId="0" shapeId="0" xr:uid="{6F62D02F-7E55-4F24-89E6-DE041C12C276}">
      <text>
        <r>
          <rPr>
            <b/>
            <sz val="9"/>
            <color indexed="81"/>
            <rFont val="Tahoma"/>
            <charset val="1"/>
          </rPr>
          <t>Katie Davidson:</t>
        </r>
        <r>
          <rPr>
            <sz val="9"/>
            <color indexed="81"/>
            <rFont val="Tahoma"/>
            <charset val="1"/>
          </rPr>
          <t xml:space="preserve">
this is weird, is it possible these IDs were swapped at some point? i.e. mis-lablelled Whatman sheet?</t>
        </r>
      </text>
    </comment>
    <comment ref="F9" authorId="0" shapeId="0" xr:uid="{BE217B1D-B30B-4F9E-B355-613FD87A695A}">
      <text>
        <r>
          <rPr>
            <b/>
            <sz val="9"/>
            <color indexed="81"/>
            <rFont val="Tahoma"/>
            <charset val="1"/>
          </rPr>
          <t>Katie Davidson:</t>
        </r>
        <r>
          <rPr>
            <sz val="9"/>
            <color indexed="81"/>
            <rFont val="Tahoma"/>
            <charset val="1"/>
          </rPr>
          <t xml:space="preserve">
this is weird, is it possible these IDs were swapped at some point? i.e. mis-lablelled Whatman sheet?</t>
        </r>
      </text>
    </comment>
    <comment ref="H12" authorId="0" shapeId="0" xr:uid="{DB44D47A-A258-4682-8501-D1180ED32850}">
      <text>
        <r>
          <rPr>
            <b/>
            <sz val="9"/>
            <color indexed="81"/>
            <rFont val="Tahoma"/>
            <family val="2"/>
          </rPr>
          <t>Katie Davidson:</t>
        </r>
        <r>
          <rPr>
            <sz val="9"/>
            <color indexed="81"/>
            <rFont val="Tahoma"/>
            <family val="2"/>
          </rPr>
          <t xml:space="preserve">
"DNA was collected on the mort"
Whatman #s: 
248174
248175</t>
        </r>
      </text>
    </comment>
    <comment ref="F13" authorId="0" shapeId="0" xr:uid="{DBDA698F-8757-4FAB-A47C-799AE78E85E3}">
      <text>
        <r>
          <rPr>
            <b/>
            <sz val="9"/>
            <color indexed="81"/>
            <rFont val="Tahoma"/>
            <family val="2"/>
          </rPr>
          <t>Katie Davidson:</t>
        </r>
        <r>
          <rPr>
            <sz val="9"/>
            <color indexed="81"/>
            <rFont val="Tahoma"/>
            <family val="2"/>
          </rPr>
          <t xml:space="preserve">
visual jacks</t>
        </r>
      </text>
    </comment>
    <comment ref="H14" authorId="0" shapeId="0" xr:uid="{A03FE7E9-9AEC-425C-BFA8-44567C7F0A78}">
      <text>
        <r>
          <rPr>
            <b/>
            <sz val="9"/>
            <color indexed="81"/>
            <rFont val="Tahoma"/>
            <family val="2"/>
          </rPr>
          <t>Katie Davidson:</t>
        </r>
        <r>
          <rPr>
            <sz val="9"/>
            <color indexed="81"/>
            <rFont val="Tahoma"/>
            <family val="2"/>
          </rPr>
          <t xml:space="preserve">
"Mort (died in holding pen)"
Whatman #s:
261209
261301
261302
261352</t>
        </r>
      </text>
    </comment>
    <comment ref="H15" authorId="0" shapeId="0" xr:uid="{139B8DE3-AAC4-4E8D-AAFA-7D49726FE5FF}">
      <text>
        <r>
          <rPr>
            <b/>
            <sz val="9"/>
            <color indexed="81"/>
            <rFont val="Tahoma"/>
            <family val="2"/>
          </rPr>
          <t>Katie Davidson:</t>
        </r>
        <r>
          <rPr>
            <sz val="9"/>
            <color indexed="81"/>
            <rFont val="Tahoma"/>
            <family val="2"/>
          </rPr>
          <t xml:space="preserve">
"Mort (died in holding pen)"
Whatman #s:
261501
261502
261552
261553
261554
261555</t>
        </r>
      </text>
    </comment>
    <comment ref="F16" authorId="0" shapeId="0" xr:uid="{54CDA956-66DD-41DF-BECB-E710769661C0}">
      <text>
        <r>
          <rPr>
            <b/>
            <sz val="9"/>
            <color indexed="81"/>
            <rFont val="Tahoma"/>
            <family val="2"/>
          </rPr>
          <t>Katie Davidson:</t>
        </r>
        <r>
          <rPr>
            <sz val="9"/>
            <color indexed="81"/>
            <rFont val="Tahoma"/>
            <family val="2"/>
          </rPr>
          <t xml:space="preserve">
visual jacks</t>
        </r>
      </text>
    </comment>
    <comment ref="H17" authorId="0" shapeId="0" xr:uid="{8BFA4562-B0F7-4620-85EB-C6B19A41A4C1}">
      <text>
        <r>
          <rPr>
            <b/>
            <sz val="9"/>
            <color indexed="81"/>
            <rFont val="Tahoma"/>
            <family val="2"/>
          </rPr>
          <t>Katie Davidson:</t>
        </r>
        <r>
          <rPr>
            <sz val="9"/>
            <color indexed="81"/>
            <rFont val="Tahoma"/>
            <family val="2"/>
          </rPr>
          <t xml:space="preserve">
"Decay started (mort)"
Whatman #:
362981</t>
        </r>
      </text>
    </comment>
    <comment ref="H20" authorId="0" shapeId="0" xr:uid="{FE5F7C9C-2126-4869-BA4B-B4D80C0DEE04}">
      <text>
        <r>
          <rPr>
            <b/>
            <sz val="9"/>
            <color indexed="81"/>
            <rFont val="Tahoma"/>
            <family val="2"/>
          </rPr>
          <t>Katie Davidson:</t>
        </r>
        <r>
          <rPr>
            <sz val="9"/>
            <color indexed="81"/>
            <rFont val="Tahoma"/>
            <family val="2"/>
          </rPr>
          <t xml:space="preserve">
"Not used for brood (mort)"
Whatman#s:
466124
466131</t>
        </r>
      </text>
    </comment>
    <comment ref="H21" authorId="0" shapeId="0" xr:uid="{99537280-F017-497F-B046-61094EBA3DF4}">
      <text>
        <r>
          <rPr>
            <b/>
            <sz val="9"/>
            <color indexed="81"/>
            <rFont val="Tahoma"/>
            <family val="2"/>
          </rPr>
          <t>Katie Davidson:</t>
        </r>
        <r>
          <rPr>
            <sz val="9"/>
            <color indexed="81"/>
            <rFont val="Tahoma"/>
            <family val="2"/>
          </rPr>
          <t xml:space="preserve">
"Not used for brood (prespawn mort)"
Whatman #:
466334</t>
        </r>
      </text>
    </comment>
  </commentList>
</comments>
</file>

<file path=xl/sharedStrings.xml><?xml version="1.0" encoding="utf-8"?>
<sst xmlns="http://schemas.openxmlformats.org/spreadsheetml/2006/main" count="59" uniqueCount="16">
  <si>
    <t>System</t>
  </si>
  <si>
    <t>Year</t>
  </si>
  <si>
    <t>Sex</t>
  </si>
  <si>
    <t>M</t>
  </si>
  <si>
    <t>F</t>
  </si>
  <si>
    <t>J</t>
  </si>
  <si>
    <t>San Juan R Fall Chinook</t>
  </si>
  <si>
    <t>% broodstock DNA sampled</t>
  </si>
  <si>
    <t>-</t>
  </si>
  <si>
    <t>Does RiverReturns match biosampling?</t>
  </si>
  <si>
    <t>SEP River Returns 
"01 Used for Broodstock"</t>
  </si>
  <si>
    <t>SEP River Returns 
"06 Holding mortalities"</t>
  </si>
  <si>
    <t>StA-SEP Biosampling: 
Total DNA collected</t>
  </si>
  <si>
    <t>StA-SEP Biosampling: 
DNA missed</t>
  </si>
  <si>
    <t>StA-SEP Biosampling: 
Biosampled mort with DNA collection</t>
  </si>
  <si>
    <t>StA-SEP Biosampling: 
DNA collection from "true" broodstock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</si>
</sst>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9" fontId="0" fillId="0" borderId="0" xfId="1" applyFont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D552-DDFA-49A0-A958-1ABDF21CA6F4}">
  <dimension ref="A1:K32"/>
  <sheetViews>
    <sheetView tabSelected="1" workbookViewId="0">
      <selection activeCell="I34" sqref="I34"/>
    </sheetView>
  </sheetViews>
  <sheetFormatPr defaultRowHeight="11.25" x14ac:dyDescent="0.2"/>
  <cols>
    <col min="1" max="1" width="20.6640625" bestFit="1" customWidth="1"/>
    <col min="2" max="2" width="5.33203125" bestFit="1" customWidth="1"/>
    <col min="3" max="3" width="4.5" bestFit="1" customWidth="1"/>
    <col min="4" max="4" width="24.83203125" bestFit="1" customWidth="1"/>
    <col min="5" max="5" width="23.1640625" bestFit="1" customWidth="1"/>
    <col min="6" max="7" width="21" bestFit="1" customWidth="1"/>
    <col min="8" max="8" width="36" bestFit="1" customWidth="1"/>
    <col min="9" max="9" width="37.33203125" bestFit="1" customWidth="1"/>
    <col min="10" max="10" width="27.1640625" bestFit="1" customWidth="1"/>
    <col min="11" max="11" width="25.1640625" customWidth="1"/>
  </cols>
  <sheetData>
    <row r="1" spans="1:11" s="5" customFormat="1" ht="31.5" customHeight="1" x14ac:dyDescent="0.2">
      <c r="A1" s="5" t="s">
        <v>0</v>
      </c>
      <c r="B1" s="5" t="s">
        <v>1</v>
      </c>
      <c r="C1" s="5" t="s">
        <v>2</v>
      </c>
      <c r="D1" s="5" t="s">
        <v>10</v>
      </c>
      <c r="E1" s="6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7</v>
      </c>
      <c r="K1" s="5" t="s">
        <v>9</v>
      </c>
    </row>
    <row r="2" spans="1:11" x14ac:dyDescent="0.2">
      <c r="A2" t="s">
        <v>6</v>
      </c>
      <c r="B2">
        <v>2018</v>
      </c>
      <c r="C2" t="s">
        <v>3</v>
      </c>
      <c r="D2">
        <v>32</v>
      </c>
      <c r="E2" s="4"/>
      <c r="F2">
        <v>34</v>
      </c>
      <c r="G2">
        <v>0</v>
      </c>
      <c r="H2">
        <v>0</v>
      </c>
      <c r="I2" s="2">
        <f>F2-H2</f>
        <v>34</v>
      </c>
      <c r="J2" s="3">
        <f>I2/D2</f>
        <v>1.0625</v>
      </c>
      <c r="K2" t="b">
        <f>D2=I2</f>
        <v>0</v>
      </c>
    </row>
    <row r="3" spans="1:11" x14ac:dyDescent="0.2">
      <c r="A3" t="s">
        <v>6</v>
      </c>
      <c r="B3">
        <v>2018</v>
      </c>
      <c r="C3" t="s">
        <v>4</v>
      </c>
      <c r="D3">
        <v>14</v>
      </c>
      <c r="E3" s="4"/>
      <c r="F3">
        <v>14</v>
      </c>
      <c r="G3">
        <v>0</v>
      </c>
      <c r="H3">
        <v>0</v>
      </c>
      <c r="I3" s="2">
        <f t="shared" ref="I3:I22" si="0">F3-H3</f>
        <v>14</v>
      </c>
      <c r="J3" s="3">
        <f t="shared" ref="J3:J21" si="1">I3/D3</f>
        <v>1</v>
      </c>
      <c r="K3" t="b">
        <f t="shared" ref="K3:K22" si="2">D3=I3</f>
        <v>1</v>
      </c>
    </row>
    <row r="4" spans="1:11" x14ac:dyDescent="0.2">
      <c r="A4" t="s">
        <v>6</v>
      </c>
      <c r="B4">
        <v>2018</v>
      </c>
      <c r="C4" t="s">
        <v>5</v>
      </c>
      <c r="D4">
        <v>1</v>
      </c>
      <c r="E4" s="4"/>
      <c r="F4">
        <v>0</v>
      </c>
      <c r="G4">
        <v>0</v>
      </c>
      <c r="H4">
        <v>0</v>
      </c>
      <c r="I4" s="2">
        <f t="shared" si="0"/>
        <v>0</v>
      </c>
      <c r="J4" s="3">
        <f t="shared" si="1"/>
        <v>0</v>
      </c>
      <c r="K4" t="b">
        <f t="shared" si="2"/>
        <v>0</v>
      </c>
    </row>
    <row r="5" spans="1:11" x14ac:dyDescent="0.2">
      <c r="A5" t="s">
        <v>6</v>
      </c>
      <c r="B5">
        <v>2019</v>
      </c>
      <c r="C5" t="s">
        <v>3</v>
      </c>
      <c r="D5">
        <v>102</v>
      </c>
      <c r="E5" s="4"/>
      <c r="F5">
        <v>109</v>
      </c>
      <c r="G5">
        <v>0</v>
      </c>
      <c r="H5">
        <v>0</v>
      </c>
      <c r="I5" s="2">
        <f t="shared" si="0"/>
        <v>109</v>
      </c>
      <c r="J5" s="3">
        <f t="shared" si="1"/>
        <v>1.0686274509803921</v>
      </c>
      <c r="K5" t="b">
        <f t="shared" si="2"/>
        <v>0</v>
      </c>
    </row>
    <row r="6" spans="1:11" x14ac:dyDescent="0.2">
      <c r="A6" t="s">
        <v>6</v>
      </c>
      <c r="B6">
        <v>2019</v>
      </c>
      <c r="C6" t="s">
        <v>4</v>
      </c>
      <c r="D6">
        <v>61</v>
      </c>
      <c r="E6" s="4">
        <v>1</v>
      </c>
      <c r="F6">
        <v>51</v>
      </c>
      <c r="G6">
        <v>0</v>
      </c>
      <c r="H6">
        <v>0</v>
      </c>
      <c r="I6" s="2">
        <f t="shared" si="0"/>
        <v>51</v>
      </c>
      <c r="J6" s="3">
        <f t="shared" si="1"/>
        <v>0.83606557377049184</v>
      </c>
      <c r="K6" t="b">
        <f t="shared" si="2"/>
        <v>0</v>
      </c>
    </row>
    <row r="7" spans="1:11" x14ac:dyDescent="0.2">
      <c r="A7" t="s">
        <v>6</v>
      </c>
      <c r="B7">
        <v>2019</v>
      </c>
      <c r="C7" t="s">
        <v>5</v>
      </c>
      <c r="E7" s="4"/>
      <c r="F7">
        <v>1</v>
      </c>
      <c r="G7">
        <v>0</v>
      </c>
      <c r="H7">
        <v>0</v>
      </c>
      <c r="I7" s="2">
        <f t="shared" si="0"/>
        <v>1</v>
      </c>
      <c r="J7" s="3" t="s">
        <v>8</v>
      </c>
      <c r="K7" t="b">
        <f t="shared" si="2"/>
        <v>0</v>
      </c>
    </row>
    <row r="8" spans="1:11" x14ac:dyDescent="0.2">
      <c r="A8" t="s">
        <v>6</v>
      </c>
      <c r="B8">
        <v>2020</v>
      </c>
      <c r="C8" t="s">
        <v>3</v>
      </c>
      <c r="D8" s="1">
        <v>137</v>
      </c>
      <c r="E8" s="4">
        <v>10</v>
      </c>
      <c r="F8" s="1">
        <v>106</v>
      </c>
      <c r="G8">
        <v>1</v>
      </c>
      <c r="H8">
        <v>0</v>
      </c>
      <c r="I8" s="2">
        <f t="shared" si="0"/>
        <v>106</v>
      </c>
      <c r="J8" s="3">
        <f t="shared" si="1"/>
        <v>0.77372262773722633</v>
      </c>
      <c r="K8" t="b">
        <f t="shared" si="2"/>
        <v>0</v>
      </c>
    </row>
    <row r="9" spans="1:11" x14ac:dyDescent="0.2">
      <c r="A9" t="s">
        <v>6</v>
      </c>
      <c r="B9">
        <v>2020</v>
      </c>
      <c r="C9" t="s">
        <v>4</v>
      </c>
      <c r="D9" s="1">
        <v>114</v>
      </c>
      <c r="E9" s="4">
        <v>11</v>
      </c>
      <c r="F9" s="1">
        <v>137</v>
      </c>
      <c r="G9">
        <v>0</v>
      </c>
      <c r="H9">
        <v>0</v>
      </c>
      <c r="I9" s="2">
        <f t="shared" si="0"/>
        <v>137</v>
      </c>
      <c r="J9" s="3">
        <f t="shared" si="1"/>
        <v>1.2017543859649122</v>
      </c>
      <c r="K9" t="b">
        <f t="shared" si="2"/>
        <v>0</v>
      </c>
    </row>
    <row r="10" spans="1:11" x14ac:dyDescent="0.2">
      <c r="A10" t="s">
        <v>6</v>
      </c>
      <c r="B10">
        <v>2020</v>
      </c>
      <c r="C10" t="s">
        <v>5</v>
      </c>
      <c r="E10" s="4"/>
      <c r="F10">
        <v>0</v>
      </c>
      <c r="G10">
        <v>0</v>
      </c>
      <c r="H10">
        <v>0</v>
      </c>
      <c r="I10" s="2">
        <f t="shared" si="0"/>
        <v>0</v>
      </c>
      <c r="J10" s="3" t="s">
        <v>8</v>
      </c>
      <c r="K10" t="b">
        <f t="shared" si="2"/>
        <v>1</v>
      </c>
    </row>
    <row r="11" spans="1:11" x14ac:dyDescent="0.2">
      <c r="A11" t="s">
        <v>6</v>
      </c>
      <c r="B11">
        <v>2021</v>
      </c>
      <c r="C11" t="s">
        <v>3</v>
      </c>
      <c r="D11" s="1">
        <v>191</v>
      </c>
      <c r="E11" s="4">
        <v>5</v>
      </c>
      <c r="F11" s="1">
        <v>130</v>
      </c>
      <c r="G11">
        <v>0</v>
      </c>
      <c r="H11">
        <v>0</v>
      </c>
      <c r="I11" s="2">
        <f t="shared" si="0"/>
        <v>130</v>
      </c>
      <c r="J11" s="3">
        <f t="shared" si="1"/>
        <v>0.68062827225130895</v>
      </c>
      <c r="K11" t="b">
        <f t="shared" si="2"/>
        <v>0</v>
      </c>
    </row>
    <row r="12" spans="1:11" x14ac:dyDescent="0.2">
      <c r="A12" t="s">
        <v>6</v>
      </c>
      <c r="B12">
        <v>2021</v>
      </c>
      <c r="C12" t="s">
        <v>4</v>
      </c>
      <c r="D12" s="1">
        <v>140</v>
      </c>
      <c r="E12" s="4">
        <v>3</v>
      </c>
      <c r="F12" s="1">
        <v>157</v>
      </c>
      <c r="G12">
        <v>1</v>
      </c>
      <c r="H12">
        <v>2</v>
      </c>
      <c r="I12" s="2">
        <f t="shared" si="0"/>
        <v>155</v>
      </c>
      <c r="J12" s="3">
        <f t="shared" si="1"/>
        <v>1.1071428571428572</v>
      </c>
      <c r="K12" t="b">
        <f t="shared" si="2"/>
        <v>0</v>
      </c>
    </row>
    <row r="13" spans="1:11" x14ac:dyDescent="0.2">
      <c r="A13" t="s">
        <v>6</v>
      </c>
      <c r="B13">
        <v>2021</v>
      </c>
      <c r="C13" t="s">
        <v>5</v>
      </c>
      <c r="E13" s="4"/>
      <c r="F13">
        <v>11</v>
      </c>
      <c r="G13">
        <v>0</v>
      </c>
      <c r="H13">
        <v>0</v>
      </c>
      <c r="I13" s="2">
        <f t="shared" si="0"/>
        <v>11</v>
      </c>
      <c r="J13" s="3" t="s">
        <v>8</v>
      </c>
      <c r="K13" t="b">
        <f t="shared" si="2"/>
        <v>0</v>
      </c>
    </row>
    <row r="14" spans="1:11" x14ac:dyDescent="0.2">
      <c r="A14" t="s">
        <v>6</v>
      </c>
      <c r="B14">
        <v>2022</v>
      </c>
      <c r="C14" t="s">
        <v>3</v>
      </c>
      <c r="D14">
        <v>193</v>
      </c>
      <c r="E14" s="4">
        <v>49</v>
      </c>
      <c r="F14">
        <v>194</v>
      </c>
      <c r="G14">
        <v>0</v>
      </c>
      <c r="H14">
        <v>4</v>
      </c>
      <c r="I14" s="2">
        <f t="shared" si="0"/>
        <v>190</v>
      </c>
      <c r="J14" s="3">
        <f t="shared" si="1"/>
        <v>0.98445595854922274</v>
      </c>
      <c r="K14" t="b">
        <f t="shared" si="2"/>
        <v>0</v>
      </c>
    </row>
    <row r="15" spans="1:11" x14ac:dyDescent="0.2">
      <c r="A15" t="s">
        <v>6</v>
      </c>
      <c r="B15">
        <v>2022</v>
      </c>
      <c r="C15" t="s">
        <v>4</v>
      </c>
      <c r="D15">
        <v>128</v>
      </c>
      <c r="E15" s="4">
        <v>37</v>
      </c>
      <c r="F15">
        <v>146</v>
      </c>
      <c r="G15">
        <v>0</v>
      </c>
      <c r="H15">
        <v>6</v>
      </c>
      <c r="I15" s="2">
        <f t="shared" si="0"/>
        <v>140</v>
      </c>
      <c r="J15" s="3">
        <f t="shared" si="1"/>
        <v>1.09375</v>
      </c>
      <c r="K15" t="b">
        <f t="shared" si="2"/>
        <v>0</v>
      </c>
    </row>
    <row r="16" spans="1:11" x14ac:dyDescent="0.2">
      <c r="A16" t="s">
        <v>6</v>
      </c>
      <c r="B16">
        <v>2022</v>
      </c>
      <c r="C16" t="s">
        <v>5</v>
      </c>
      <c r="E16" s="4"/>
      <c r="F16">
        <v>2</v>
      </c>
      <c r="G16">
        <v>0</v>
      </c>
      <c r="H16">
        <v>0</v>
      </c>
      <c r="I16" s="2">
        <f t="shared" si="0"/>
        <v>2</v>
      </c>
      <c r="J16" s="3" t="s">
        <v>8</v>
      </c>
      <c r="K16" t="b">
        <f t="shared" si="2"/>
        <v>0</v>
      </c>
    </row>
    <row r="17" spans="1:11" x14ac:dyDescent="0.2">
      <c r="A17" t="s">
        <v>6</v>
      </c>
      <c r="B17">
        <v>2023</v>
      </c>
      <c r="C17" t="s">
        <v>3</v>
      </c>
      <c r="D17">
        <v>210</v>
      </c>
      <c r="E17" s="4">
        <v>1</v>
      </c>
      <c r="F17">
        <v>197</v>
      </c>
      <c r="G17">
        <v>0</v>
      </c>
      <c r="H17">
        <v>1</v>
      </c>
      <c r="I17" s="2">
        <f t="shared" si="0"/>
        <v>196</v>
      </c>
      <c r="J17" s="3">
        <f t="shared" si="1"/>
        <v>0.93333333333333335</v>
      </c>
      <c r="K17" t="b">
        <f t="shared" si="2"/>
        <v>0</v>
      </c>
    </row>
    <row r="18" spans="1:11" x14ac:dyDescent="0.2">
      <c r="A18" t="s">
        <v>6</v>
      </c>
      <c r="B18">
        <v>2023</v>
      </c>
      <c r="C18" t="s">
        <v>4</v>
      </c>
      <c r="D18">
        <v>155</v>
      </c>
      <c r="E18" s="4"/>
      <c r="F18">
        <v>165</v>
      </c>
      <c r="G18">
        <v>0</v>
      </c>
      <c r="H18">
        <v>0</v>
      </c>
      <c r="I18" s="2">
        <f t="shared" si="0"/>
        <v>165</v>
      </c>
      <c r="J18" s="3">
        <f t="shared" si="1"/>
        <v>1.064516129032258</v>
      </c>
      <c r="K18" t="b">
        <f t="shared" si="2"/>
        <v>0</v>
      </c>
    </row>
    <row r="19" spans="1:11" x14ac:dyDescent="0.2">
      <c r="A19" t="s">
        <v>6</v>
      </c>
      <c r="B19">
        <v>2023</v>
      </c>
      <c r="C19" t="s">
        <v>5</v>
      </c>
      <c r="E19" s="4"/>
      <c r="F19">
        <v>1</v>
      </c>
      <c r="G19">
        <v>0</v>
      </c>
      <c r="H19">
        <v>0</v>
      </c>
      <c r="I19" s="2">
        <f t="shared" si="0"/>
        <v>1</v>
      </c>
      <c r="J19" s="3" t="s">
        <v>8</v>
      </c>
      <c r="K19" t="b">
        <f t="shared" si="2"/>
        <v>0</v>
      </c>
    </row>
    <row r="20" spans="1:11" x14ac:dyDescent="0.2">
      <c r="A20" t="s">
        <v>6</v>
      </c>
      <c r="B20">
        <v>2024</v>
      </c>
      <c r="C20" t="s">
        <v>3</v>
      </c>
      <c r="D20">
        <v>199</v>
      </c>
      <c r="E20" s="4"/>
      <c r="F20">
        <v>190</v>
      </c>
      <c r="G20">
        <v>11</v>
      </c>
      <c r="H20">
        <v>2</v>
      </c>
      <c r="I20" s="2">
        <f t="shared" si="0"/>
        <v>188</v>
      </c>
      <c r="J20" s="3">
        <f t="shared" si="1"/>
        <v>0.94472361809045224</v>
      </c>
      <c r="K20" t="b">
        <f t="shared" si="2"/>
        <v>0</v>
      </c>
    </row>
    <row r="21" spans="1:11" x14ac:dyDescent="0.2">
      <c r="A21" t="s">
        <v>6</v>
      </c>
      <c r="B21">
        <v>2024</v>
      </c>
      <c r="C21" t="s">
        <v>4</v>
      </c>
      <c r="D21">
        <v>148</v>
      </c>
      <c r="E21" s="4"/>
      <c r="F21">
        <v>139</v>
      </c>
      <c r="G21">
        <v>9</v>
      </c>
      <c r="H21">
        <v>1</v>
      </c>
      <c r="I21" s="2">
        <f t="shared" si="0"/>
        <v>138</v>
      </c>
      <c r="J21" s="3">
        <f t="shared" si="1"/>
        <v>0.93243243243243246</v>
      </c>
      <c r="K21" t="b">
        <f t="shared" si="2"/>
        <v>0</v>
      </c>
    </row>
    <row r="22" spans="1:11" x14ac:dyDescent="0.2">
      <c r="A22" t="s">
        <v>6</v>
      </c>
      <c r="B22">
        <v>2024</v>
      </c>
      <c r="C22" t="s">
        <v>5</v>
      </c>
      <c r="E22" s="4"/>
      <c r="G22">
        <v>0</v>
      </c>
      <c r="H22">
        <v>0</v>
      </c>
      <c r="I22" s="2">
        <f t="shared" si="0"/>
        <v>0</v>
      </c>
      <c r="J22" s="3" t="s">
        <v>8</v>
      </c>
      <c r="K22" t="b">
        <f t="shared" si="2"/>
        <v>1</v>
      </c>
    </row>
    <row r="23" spans="1:11" x14ac:dyDescent="0.2">
      <c r="E23" s="4"/>
    </row>
    <row r="24" spans="1:11" x14ac:dyDescent="0.2">
      <c r="E24" s="4"/>
    </row>
    <row r="25" spans="1:11" x14ac:dyDescent="0.2">
      <c r="E25" s="4"/>
    </row>
    <row r="26" spans="1:11" x14ac:dyDescent="0.2">
      <c r="E26" s="4"/>
    </row>
    <row r="27" spans="1:11" x14ac:dyDescent="0.2">
      <c r="E27" s="4"/>
    </row>
    <row r="28" spans="1:11" x14ac:dyDescent="0.2">
      <c r="E28" s="4"/>
    </row>
    <row r="29" spans="1:11" x14ac:dyDescent="0.2">
      <c r="E29" s="4"/>
    </row>
    <row r="30" spans="1:11" x14ac:dyDescent="0.2">
      <c r="E30" s="4"/>
    </row>
    <row r="31" spans="1:11" x14ac:dyDescent="0.2">
      <c r="E31" s="4"/>
    </row>
    <row r="32" spans="1:11" x14ac:dyDescent="0.2">
      <c r="E32" s="4"/>
    </row>
  </sheetData>
  <conditionalFormatting sqref="H8:H9 H11:H22 G2:G1048576 H2:H6">
    <cfRule type="cellIs" dxfId="0" priority="1" operator="greaterThan">
      <formula>0</formula>
    </cfRule>
  </conditionalFormatting>
  <pageMargins left="0.7" right="0.7" top="0.75" bottom="0.75" header="0.3" footer="0.3"/>
  <headerFooter>
    <oddHeader>&amp;R&amp;"Calibri"&amp;12&amp;K000000 Unclassified - Non-Classifié&amp;1#_x000D_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Davidson, Katie (DFO/MPO)</dc:creator>
  <cp:lastModifiedBy>Davidson, Katie (DFO/MPO)</cp:lastModifiedBy>
  <dcterms:created xsi:type="dcterms:W3CDTF">2025-08-28T17:09:47Z</dcterms:created>
  <dcterms:modified xsi:type="dcterms:W3CDTF">2025-08-28T18:58:22Z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2025-08-28T17:21:18Z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3117e3f6-0c71-41d0-82dc-d124faa8a600</vt:lpwstr>
  </property>
  <property fmtid="{D5CDD505-2E9C-101B-9397-08002B2CF9AE}" pid="8" name="MSIP_Label_4e6cdb53-fd15-486d-84de-c510e3a62203_ContentBits">
    <vt:lpwstr>1</vt:lpwstr>
  </property>
</Properties>
</file>